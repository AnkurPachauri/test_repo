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clusion" sheetId="1" state="visible" r:id="rId1"/>
    <sheet name="Q1 - Category Contributions" sheetId="2" state="visible" r:id="rId2"/>
    <sheet name="Q2 - YoY Inflation Trend" sheetId="3" state="visible" r:id="rId3"/>
    <sheet name="Q3 - Food Inflation Analysis" sheetId="4" state="visible" r:id="rId4"/>
    <sheet name="Q4 - COVID Impact" sheetId="5" state="visible" r:id="rId5"/>
    <sheet name="Q5 - Oil Price Impact" sheetId="6" state="visible" r:id="rId6"/>
  </sheets>
  <definedNames/>
  <calcPr calcId="124519" fullCalcOnLoad="1"/>
</workbook>
</file>

<file path=xl/styles.xml><?xml version="1.0" encoding="utf-8"?>
<styleSheet xmlns="http://schemas.openxmlformats.org/spreadsheetml/2006/main">
  <numFmts count="1">
    <numFmt numFmtId="164" formatCode="0.00&quot;%&quot;"/>
  </numFmts>
  <fonts count="11">
    <font>
      <name val="Calibri"/>
      <family val="2"/>
      <color theme="1"/>
      <sz val="11"/>
      <scheme val="minor"/>
    </font>
    <font>
      <b val="1"/>
      <sz val="14"/>
    </font>
    <font>
      <b val="1"/>
      <color rgb="00FFFFFF"/>
      <sz val="11"/>
    </font>
    <font>
      <b val="1"/>
    </font>
    <font>
      <b val="1"/>
      <i val="1"/>
      <sz val="11"/>
    </font>
    <font>
      <b val="1"/>
      <sz val="12"/>
    </font>
    <font>
      <i val="1"/>
      <sz val="10"/>
    </font>
    <font>
      <b val="1"/>
      <color rgb="00006100"/>
    </font>
    <font>
      <b val="1"/>
      <color rgb="009C0006"/>
    </font>
    <font>
      <b val="1"/>
      <color rgb="001F4E79"/>
      <sz val="16"/>
    </font>
    <font>
      <b val="1"/>
      <color rgb="004472C4"/>
      <sz val="12"/>
    </font>
  </fonts>
  <fills count="6">
    <fill>
      <patternFill/>
    </fill>
    <fill>
      <patternFill patternType="gray125"/>
    </fill>
    <fill>
      <patternFill patternType="solid">
        <fgColor rgb="004472C4"/>
        <bgColor rgb="004472C4"/>
      </patternFill>
    </fill>
    <fill>
      <patternFill patternType="solid">
        <fgColor rgb="00FFF2CC"/>
        <bgColor rgb="00FFF2CC"/>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9" fillId="0" borderId="0" pivotButton="0" quotePrefix="0" xfId="0"/>
    <xf numFmtId="0" fontId="10" fillId="0" borderId="0" pivotButton="0" quotePrefix="0" xfId="0"/>
    <xf numFmtId="0" fontId="0" fillId="0" borderId="0" applyAlignment="1" pivotButton="0" quotePrefix="0" xfId="0">
      <alignment wrapText="1"/>
    </xf>
    <xf numFmtId="0" fontId="1" fillId="0" borderId="0" pivotButton="0" quotePrefix="0" xfId="0"/>
    <xf numFmtId="0" fontId="2" fillId="2" borderId="1" applyAlignment="1" pivotButton="0" quotePrefix="0" xfId="0">
      <alignment horizontal="center" wrapText="1"/>
    </xf>
    <xf numFmtId="0" fontId="0" fillId="3" borderId="1" applyAlignment="1" pivotButton="0" quotePrefix="0" xfId="0">
      <alignment horizontal="center"/>
    </xf>
    <xf numFmtId="164" fontId="0" fillId="3" borderId="1" applyAlignment="1" pivotButton="0" quotePrefix="0" xfId="0">
      <alignment horizontal="center"/>
    </xf>
    <xf numFmtId="0" fontId="0" fillId="0" borderId="1" applyAlignment="1" pivotButton="0" quotePrefix="0" xfId="0">
      <alignment horizontal="center"/>
    </xf>
    <xf numFmtId="164" fontId="0" fillId="0" borderId="1" applyAlignment="1" pivotButton="0" quotePrefix="0" xfId="0">
      <alignment horizontal="center"/>
    </xf>
    <xf numFmtId="0" fontId="3" fillId="0" borderId="1" applyAlignment="1" pivotButton="0" quotePrefix="0" xfId="0">
      <alignment horizontal="center"/>
    </xf>
    <xf numFmtId="0" fontId="4" fillId="0" borderId="0" pivotButton="0" quotePrefix="0" xfId="0"/>
    <xf numFmtId="0" fontId="5" fillId="0" borderId="0" pivotButton="0" quotePrefix="0" xfId="0"/>
    <xf numFmtId="0" fontId="6" fillId="0" borderId="0" pivotButton="0" quotePrefix="0" xfId="0"/>
    <xf numFmtId="0" fontId="0" fillId="4" borderId="1" applyAlignment="1" pivotButton="0" quotePrefix="0" xfId="0">
      <alignment horizontal="center"/>
    </xf>
    <xf numFmtId="0" fontId="0" fillId="5" borderId="1" applyAlignment="1" pivotButton="0" quotePrefix="0" xfId="0">
      <alignment horizontal="center"/>
    </xf>
    <xf numFmtId="0" fontId="7"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10"/>
  <chart>
    <title>
      <tx>
        <rich>
          <a:bodyPr/>
          <a:p>
            <a:pPr>
              <a:defRPr/>
            </a:pPr>
            <a:r>
              <a:t>Y-o-Y CPI Inflation Rate (%)</a:t>
            </a:r>
          </a:p>
        </rich>
      </tx>
    </title>
    <plotArea>
      <barChart>
        <barDir val="col"/>
        <grouping val="clustered"/>
        <ser>
          <idx val="0"/>
          <order val="0"/>
          <tx>
            <strRef>
              <f>'Q2 - YoY Inflation Trend'!C3</f>
            </strRef>
          </tx>
          <spPr>
            <a:ln>
              <a:prstDash val="solid"/>
            </a:ln>
          </spPr>
          <cat>
            <numRef>
              <f>'Q2 - YoY Inflation Trend'!$A$4:$A$10</f>
            </numRef>
          </cat>
          <val>
            <numRef>
              <f>'Q2 - YoY Inflation Trend'!$C$4:$C$10</f>
            </numRef>
          </val>
        </ser>
        <gapWidth val="150"/>
        <axId val="10"/>
        <axId val="100"/>
      </barChart>
      <catAx>
        <axId val="10"/>
        <scaling>
          <orientation val="minMax"/>
        </scaling>
        <axPos val="l"/>
        <title>
          <tx>
            <rich>
              <a:bodyPr/>
              <a:p>
                <a:pPr>
                  <a:defRPr/>
                </a:pPr>
                <a:r>
                  <a:t>Year</a:t>
                </a:r>
              </a:p>
            </rich>
          </tx>
        </title>
        <majorTickMark val="none"/>
        <minorTickMark val="none"/>
        <crossAx val="100"/>
        <lblOffset val="100"/>
      </catAx>
      <valAx>
        <axId val="100"/>
        <scaling>
          <orientation val="minMax"/>
        </scaling>
        <axPos val="l"/>
        <majorGridlines/>
        <title>
          <tx>
            <rich>
              <a:bodyPr/>
              <a:p>
                <a:pPr>
                  <a:defRPr/>
                </a:pPr>
                <a:r>
                  <a:t>Inflation Rate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General Index MoM Inflation % (Jan 2019 – Dec 2021)</a:t>
            </a:r>
          </a:p>
        </rich>
      </tx>
    </title>
    <plotArea>
      <lineChart>
        <grouping val="standard"/>
        <ser>
          <idx val="0"/>
          <order val="0"/>
          <tx>
            <strRef>
              <f>'Q4 - COVID Impact'!G5</f>
            </strRef>
          </tx>
          <spPr>
            <a:ln>
              <a:prstDash val="solid"/>
            </a:ln>
          </spPr>
          <marker>
            <symbol val="none"/>
            <spPr>
              <a:ln>
                <a:prstDash val="solid"/>
              </a:ln>
            </spPr>
          </marker>
          <cat>
            <numRef>
              <f>'Q4 - COVID Impact'!$A$6:$A$39</f>
            </numRef>
          </cat>
          <val>
            <numRef>
              <f>'Q4 - COVID Impact'!$G$6:$G$39</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MoM Inflation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52</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1" t="inlineStr">
        <is>
          <t>India CPI Inflation Case Study – Conclusion &amp; Summary</t>
        </is>
      </c>
    </row>
    <row r="3">
      <c r="A3" s="2" t="inlineStr">
        <is>
          <t>Q1: Category Contributions</t>
        </is>
      </c>
    </row>
    <row r="4">
      <c r="A4" s="3" t="inlineStr">
        <is>
          <t>The broader category 'Food' has the highest contribution to the CPI basket at 51.73%, followed by 'Clothing &amp; Footwear' at 8.92%. Food items dominate India's CPI basket, reflecting the significant portion of consumer expenditure on food in India.</t>
        </is>
      </c>
    </row>
    <row r="5"/>
    <row r="6"/>
    <row r="8">
      <c r="A8" s="2" t="inlineStr">
        <is>
          <t>Q2: Y-o-Y Inflation Trend</t>
        </is>
      </c>
    </row>
    <row r="9">
      <c r="A9" s="3" t="inlineStr">
        <is>
          <t>Year 2022 recorded the highest Y-o-Y inflation rate at 6.62%. Russia-Ukraine conflict led to global commodity price spikes (crude oil, wheat, fertilizers). Post-COVID supply chain bottlenecks persisted. Global central banks raised interest rates. India experienced elevated food inflation due to erratic monsoons and global food supply shocks.</t>
        </is>
      </c>
    </row>
    <row r="10"/>
    <row r="11"/>
    <row r="13">
      <c r="A13" s="2" t="inlineStr">
        <is>
          <t>Q3: Food Inflation (12 months ending May'23)</t>
        </is>
      </c>
    </row>
    <row r="14">
      <c r="A14" s="3" t="inlineStr">
        <is>
          <t>Highest food MoM inflation: Oct'22 (1.01%). Lowest food MoM inflation: Dec'22 (-1.35%). The biggest individual food category contributor was 'Oils and fats' with an absolute change of -30.9 index points.</t>
        </is>
      </c>
    </row>
    <row r="15"/>
    <row r="16"/>
    <row r="18">
      <c r="A18" s="2" t="inlineStr">
        <is>
          <t>Q4: COVID-19 Impact</t>
        </is>
      </c>
    </row>
    <row r="19">
      <c r="A19" s="3" t="inlineStr">
        <is>
          <t>COVID-19 lockdown (Mar 2020) caused supply chain disruptions leading to food price spikes, reduced fuel demand (deflation in transport), and increased healthcare costs. Post-lockdown recovery saw broad-based inflation as demand recovered faster than supply.</t>
        </is>
      </c>
    </row>
    <row r="20"/>
    <row r="21"/>
    <row r="23">
      <c r="A23" s="2" t="inlineStr">
        <is>
          <t>Q5: Crude Oil Price Impact</t>
        </is>
      </c>
    </row>
    <row r="24">
      <c r="A24" s="3" t="inlineStr">
        <is>
          <t>'Meat and fish' showed the strongest correlation (r=0.4666) with crude oil price fluctuations during 2021-2023. Global oil price shocks, especially during the Russia-Ukraine conflict in 2022, significantly impacted India's inflation.</t>
        </is>
      </c>
    </row>
    <row r="25"/>
    <row r="26"/>
  </sheetData>
  <mergeCells count="11">
    <mergeCell ref="A1:D1"/>
    <mergeCell ref="A4:D6"/>
    <mergeCell ref="A18:D18"/>
    <mergeCell ref="A23:D23"/>
    <mergeCell ref="A8:D8"/>
    <mergeCell ref="A3:D3"/>
    <mergeCell ref="A19:D21"/>
    <mergeCell ref="A24:D26"/>
    <mergeCell ref="A14:D16"/>
    <mergeCell ref="A9:D1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5" customWidth="1" min="1" max="1"/>
    <col width="23" customWidth="1" min="2" max="2"/>
    <col width="20" customWidth="1" min="3" max="3"/>
    <col width="8" customWidth="1" min="4" max="4"/>
  </cols>
  <sheetData>
    <row r="1">
      <c r="A1" s="4" t="inlineStr">
        <is>
          <t>Q1: Broader Category Contributions to CPI Basket (May 2023)</t>
        </is>
      </c>
    </row>
    <row r="2"/>
    <row r="3">
      <c r="A3" s="5" t="inlineStr">
        <is>
          <t>Broader Category</t>
        </is>
      </c>
      <c r="B3" s="5" t="inlineStr">
        <is>
          <t>Sum of Index Values</t>
        </is>
      </c>
      <c r="C3" s="5" t="inlineStr">
        <is>
          <t>Contribution (%)</t>
        </is>
      </c>
      <c r="D3" s="5" t="inlineStr">
        <is>
          <t>Rank</t>
        </is>
      </c>
    </row>
    <row r="4">
      <c r="A4" s="6" t="inlineStr">
        <is>
          <t>Food</t>
        </is>
      </c>
      <c r="B4" s="6" t="n">
        <v>2127.8</v>
      </c>
      <c r="C4" s="7" t="n">
        <v>51.73</v>
      </c>
      <c r="D4" s="6" t="n">
        <v>1</v>
      </c>
    </row>
    <row r="5">
      <c r="A5" s="8" t="inlineStr">
        <is>
          <t>Clothing &amp; Footwear</t>
        </is>
      </c>
      <c r="B5" s="8" t="n">
        <v>367</v>
      </c>
      <c r="C5" s="9" t="n">
        <v>8.92</v>
      </c>
      <c r="D5" s="8" t="n">
        <v>2</v>
      </c>
    </row>
    <row r="6">
      <c r="A6" s="8" t="inlineStr">
        <is>
          <t>Pan, Tobacco &amp; Intoxicants</t>
        </is>
      </c>
      <c r="B6" s="8" t="n">
        <v>201</v>
      </c>
      <c r="C6" s="9" t="n">
        <v>4.89</v>
      </c>
      <c r="D6" s="8" t="n">
        <v>3</v>
      </c>
    </row>
    <row r="7">
      <c r="A7" s="8" t="inlineStr">
        <is>
          <t>Health</t>
        </is>
      </c>
      <c r="B7" s="8" t="n">
        <v>185.7</v>
      </c>
      <c r="C7" s="9" t="n">
        <v>4.51</v>
      </c>
      <c r="D7" s="8" t="n">
        <v>4</v>
      </c>
    </row>
    <row r="8">
      <c r="A8" s="8" t="inlineStr">
        <is>
          <t>Personal Care &amp; Effects</t>
        </is>
      </c>
      <c r="B8" s="8" t="n">
        <v>185.2</v>
      </c>
      <c r="C8" s="9" t="n">
        <v>4.5</v>
      </c>
      <c r="D8" s="8" t="n">
        <v>5</v>
      </c>
    </row>
    <row r="9">
      <c r="A9" s="8" t="inlineStr">
        <is>
          <t>Fuel &amp; Light</t>
        </is>
      </c>
      <c r="B9" s="8" t="n">
        <v>182.8</v>
      </c>
      <c r="C9" s="9" t="n">
        <v>4.44</v>
      </c>
      <c r="D9" s="8" t="n">
        <v>6</v>
      </c>
    </row>
    <row r="10">
      <c r="A10" s="8" t="inlineStr">
        <is>
          <t>Education</t>
        </is>
      </c>
      <c r="B10" s="8" t="n">
        <v>177.1</v>
      </c>
      <c r="C10" s="9" t="n">
        <v>4.31</v>
      </c>
      <c r="D10" s="8" t="n">
        <v>7</v>
      </c>
    </row>
    <row r="11">
      <c r="A11" s="8" t="inlineStr">
        <is>
          <t>Housing</t>
        </is>
      </c>
      <c r="B11" s="8" t="n">
        <v>175.6</v>
      </c>
      <c r="C11" s="9" t="n">
        <v>4.27</v>
      </c>
      <c r="D11" s="8" t="n">
        <v>8</v>
      </c>
    </row>
    <row r="12">
      <c r="A12" s="8" t="inlineStr">
        <is>
          <t>Household Goods &amp; Services</t>
        </is>
      </c>
      <c r="B12" s="8" t="n">
        <v>175.2</v>
      </c>
      <c r="C12" s="9" t="n">
        <v>4.26</v>
      </c>
      <c r="D12" s="8" t="n">
        <v>9</v>
      </c>
    </row>
    <row r="13">
      <c r="A13" s="8" t="inlineStr">
        <is>
          <t>Recreation &amp; Amusement</t>
        </is>
      </c>
      <c r="B13" s="8" t="n">
        <v>171.2</v>
      </c>
      <c r="C13" s="9" t="n">
        <v>4.16</v>
      </c>
      <c r="D13" s="8" t="n">
        <v>10</v>
      </c>
    </row>
    <row r="14">
      <c r="A14" s="8" t="inlineStr">
        <is>
          <t>Transport &amp; Communication</t>
        </is>
      </c>
      <c r="B14" s="8" t="n">
        <v>164.8</v>
      </c>
      <c r="C14" s="9" t="n">
        <v>4.01</v>
      </c>
      <c r="D14" s="8" t="n">
        <v>11</v>
      </c>
    </row>
    <row r="15">
      <c r="A15" s="10" t="inlineStr">
        <is>
          <t>TOTAL</t>
        </is>
      </c>
      <c r="B15" s="8" t="n">
        <v>4113.4</v>
      </c>
      <c r="C15" s="9" t="n">
        <v>100</v>
      </c>
      <c r="D15" s="8" t="n"/>
    </row>
    <row r="16"/>
    <row r="17">
      <c r="A17" s="11" t="inlineStr">
        <is>
          <t>Conclusion: 'Food' has the highest contribution at 51.73% of the CPI basket.</t>
        </is>
      </c>
    </row>
  </sheetData>
  <mergeCells count="2">
    <mergeCell ref="A1:D1"/>
    <mergeCell ref="A17:D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5" customWidth="1" min="1" max="1"/>
    <col width="27" customWidth="1" min="2" max="2"/>
    <col width="28" customWidth="1" min="3" max="3"/>
    <col width="11" customWidth="1" min="4" max="4"/>
  </cols>
  <sheetData>
    <row r="1">
      <c r="A1" s="4" t="inlineStr">
        <is>
          <t>Q2: Year-on-Year CPI Inflation Rate (Rural+Urban, General Index) – Starting 2017</t>
        </is>
      </c>
    </row>
    <row r="2"/>
    <row r="3">
      <c r="A3" s="5" t="inlineStr">
        <is>
          <t>Year</t>
        </is>
      </c>
      <c r="B3" s="5" t="inlineStr">
        <is>
          <t>Avg CPI (General Index)</t>
        </is>
      </c>
      <c r="C3" s="5" t="inlineStr">
        <is>
          <t>Y-o-Y Inflation Rate (%)</t>
        </is>
      </c>
      <c r="D3" s="5" t="inlineStr">
        <is>
          <t>Note</t>
        </is>
      </c>
    </row>
    <row r="4">
      <c r="A4" s="8" t="n">
        <v>2017</v>
      </c>
      <c r="B4" s="8" t="n">
        <v>133.5</v>
      </c>
      <c r="C4" s="8" t="n">
        <v>3.33</v>
      </c>
      <c r="D4" s="8" t="n"/>
    </row>
    <row r="5">
      <c r="A5" s="8" t="n">
        <v>2018</v>
      </c>
      <c r="B5" s="8" t="n">
        <v>138.78</v>
      </c>
      <c r="C5" s="8" t="n">
        <v>3.95</v>
      </c>
      <c r="D5" s="8" t="n"/>
    </row>
    <row r="6">
      <c r="A6" s="8" t="n">
        <v>2019</v>
      </c>
      <c r="B6" s="8" t="n">
        <v>144.18</v>
      </c>
      <c r="C6" s="8" t="n">
        <v>3.9</v>
      </c>
      <c r="D6" s="8" t="n"/>
    </row>
    <row r="7">
      <c r="A7" s="8" t="n">
        <v>2020</v>
      </c>
      <c r="B7" s="8" t="n">
        <v>152.58</v>
      </c>
      <c r="C7" s="8" t="n">
        <v>5.83</v>
      </c>
      <c r="D7" s="8" t="n"/>
    </row>
    <row r="8">
      <c r="A8" s="8" t="n">
        <v>2021</v>
      </c>
      <c r="B8" s="8" t="n">
        <v>161.46</v>
      </c>
      <c r="C8" s="8" t="n">
        <v>5.82</v>
      </c>
      <c r="D8" s="8" t="n"/>
    </row>
    <row r="9">
      <c r="A9" s="6" t="n">
        <v>2022</v>
      </c>
      <c r="B9" s="6" t="n">
        <v>172.15</v>
      </c>
      <c r="C9" s="6" t="n">
        <v>6.62</v>
      </c>
      <c r="D9" s="6" t="inlineStr">
        <is>
          <t>HIGHEST</t>
        </is>
      </c>
    </row>
    <row r="10">
      <c r="A10" s="8" t="n">
        <v>2023</v>
      </c>
      <c r="B10" s="8" t="n">
        <v>177.62</v>
      </c>
      <c r="C10" s="8" t="n">
        <v>3.18</v>
      </c>
      <c r="D10" s="8" t="n"/>
    </row>
    <row r="11"/>
    <row r="12"/>
    <row r="13"/>
    <row r="14"/>
    <row r="15"/>
    <row r="16"/>
    <row r="17"/>
    <row r="18"/>
    <row r="19"/>
    <row r="20"/>
    <row r="21"/>
    <row r="22"/>
    <row r="23"/>
    <row r="24"/>
    <row r="25"/>
    <row r="26"/>
    <row r="27"/>
    <row r="28">
      <c r="A28" s="12" t="inlineStr">
        <is>
          <t>Highest Inflation Year: 2022 at 6.62%</t>
        </is>
      </c>
    </row>
    <row r="29">
      <c r="A29" s="13" t="inlineStr">
        <is>
          <t>Reason: Russia-Ukraine conflict led to global commodity price spikes (crude oil, wheat, fertilizers). Post-COVID supply chain bottlenecks persisted. Global central banks raised interest rates. India experienced elevated food inflation due to erratic monsoons and global food supply shocks.</t>
        </is>
      </c>
    </row>
    <row r="30"/>
  </sheetData>
  <mergeCells count="3">
    <mergeCell ref="A1:D1"/>
    <mergeCell ref="A28:D28"/>
    <mergeCell ref="A29:D3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5" customWidth="1" min="1" max="1"/>
    <col width="24" customWidth="1" min="2" max="2"/>
    <col width="16" customWidth="1" min="3" max="3"/>
    <col width="19" customWidth="1" min="4" max="4"/>
    <col width="15" customWidth="1" min="5" max="5"/>
  </cols>
  <sheetData>
    <row r="1">
      <c r="A1" s="4" t="inlineStr">
        <is>
          <t>Q3: Food Inflation Analysis – 12 Months Ending May 2023</t>
        </is>
      </c>
    </row>
    <row r="2"/>
    <row r="3">
      <c r="A3" s="12" t="inlineStr">
        <is>
          <t>Part A: Month-on-Month Changes in Broader Food Category (Food &amp; Beverages)</t>
        </is>
      </c>
    </row>
    <row r="4"/>
    <row r="5">
      <c r="A5" s="5" t="inlineStr">
        <is>
          <t>Month-Year</t>
        </is>
      </c>
      <c r="B5" s="5" t="inlineStr">
        <is>
          <t>Food &amp; Beverages CPI</t>
        </is>
      </c>
      <c r="C5" s="5" t="inlineStr">
        <is>
          <t>MoM Change</t>
        </is>
      </c>
      <c r="D5" s="5" t="inlineStr">
        <is>
          <t>MoM Change (%)</t>
        </is>
      </c>
      <c r="E5" s="5" t="inlineStr">
        <is>
          <t>Note</t>
        </is>
      </c>
    </row>
    <row r="6">
      <c r="A6" s="8" t="inlineStr">
        <is>
          <t>Jun'22</t>
        </is>
      </c>
      <c r="B6" s="8" t="n">
        <v>174.9</v>
      </c>
      <c r="C6" s="8" t="n">
        <v>1.6</v>
      </c>
      <c r="D6" s="8" t="n">
        <v>0.92</v>
      </c>
      <c r="E6" s="8" t="inlineStr"/>
    </row>
    <row r="7">
      <c r="A7" s="8" t="inlineStr">
        <is>
          <t>Jul'22</t>
        </is>
      </c>
      <c r="B7" s="8" t="n">
        <v>175</v>
      </c>
      <c r="C7" s="8" t="n">
        <v>0.1</v>
      </c>
      <c r="D7" s="8" t="n">
        <v>0.06</v>
      </c>
      <c r="E7" s="8" t="inlineStr"/>
    </row>
    <row r="8">
      <c r="A8" s="8" t="inlineStr">
        <is>
          <t>Aug'22</t>
        </is>
      </c>
      <c r="B8" s="8" t="n">
        <v>176.3</v>
      </c>
      <c r="C8" s="8" t="n">
        <v>1.3</v>
      </c>
      <c r="D8" s="8" t="n">
        <v>0.74</v>
      </c>
      <c r="E8" s="8" t="inlineStr"/>
    </row>
    <row r="9">
      <c r="A9" s="8" t="inlineStr">
        <is>
          <t>Sep'22</t>
        </is>
      </c>
      <c r="B9" s="8" t="n">
        <v>177.8</v>
      </c>
      <c r="C9" s="8" t="n">
        <v>1.5</v>
      </c>
      <c r="D9" s="8" t="n">
        <v>0.85</v>
      </c>
      <c r="E9" s="8" t="inlineStr"/>
    </row>
    <row r="10">
      <c r="A10" s="14" t="inlineStr">
        <is>
          <t>Oct'22</t>
        </is>
      </c>
      <c r="B10" s="14" t="n">
        <v>179.6</v>
      </c>
      <c r="C10" s="14" t="n">
        <v>1.8</v>
      </c>
      <c r="D10" s="14" t="n">
        <v>1.01</v>
      </c>
      <c r="E10" s="14" t="inlineStr">
        <is>
          <t>HIGHEST MoM</t>
        </is>
      </c>
    </row>
    <row r="11">
      <c r="A11" s="8" t="inlineStr">
        <is>
          <t>Nov'22</t>
        </is>
      </c>
      <c r="B11" s="8" t="n">
        <v>178.3</v>
      </c>
      <c r="C11" s="8" t="n">
        <v>-1.3</v>
      </c>
      <c r="D11" s="8" t="n">
        <v>-0.72</v>
      </c>
      <c r="E11" s="8" t="inlineStr"/>
    </row>
    <row r="12">
      <c r="A12" s="15" t="inlineStr">
        <is>
          <t>Dec'22</t>
        </is>
      </c>
      <c r="B12" s="15" t="n">
        <v>175.9</v>
      </c>
      <c r="C12" s="15" t="n">
        <v>-2.4</v>
      </c>
      <c r="D12" s="15" t="n">
        <v>-1.35</v>
      </c>
      <c r="E12" s="15" t="inlineStr">
        <is>
          <t>LOWEST MoM</t>
        </is>
      </c>
    </row>
    <row r="13">
      <c r="A13" s="8" t="inlineStr">
        <is>
          <t>Jan'23</t>
        </is>
      </c>
      <c r="B13" s="8" t="n">
        <v>176.7</v>
      </c>
      <c r="C13" s="8" t="n">
        <v>0.8</v>
      </c>
      <c r="D13" s="8" t="n">
        <v>0.45</v>
      </c>
      <c r="E13" s="8" t="inlineStr"/>
    </row>
    <row r="14">
      <c r="A14" s="8" t="inlineStr">
        <is>
          <t>Feb'23</t>
        </is>
      </c>
      <c r="B14" s="8" t="n">
        <v>177</v>
      </c>
      <c r="C14" s="8" t="n">
        <v>0.3</v>
      </c>
      <c r="D14" s="8" t="n">
        <v>0.17</v>
      </c>
      <c r="E14" s="8" t="inlineStr"/>
    </row>
    <row r="15">
      <c r="A15" s="8" t="inlineStr">
        <is>
          <t>Mar'23</t>
        </is>
      </c>
      <c r="B15" s="8" t="n">
        <v>177</v>
      </c>
      <c r="C15" s="8" t="n">
        <v>0</v>
      </c>
      <c r="D15" s="8" t="n">
        <v>0</v>
      </c>
      <c r="E15" s="8" t="inlineStr"/>
    </row>
    <row r="16">
      <c r="A16" s="8" t="inlineStr">
        <is>
          <t>Apr'23</t>
        </is>
      </c>
      <c r="B16" s="8" t="n">
        <v>177.9</v>
      </c>
      <c r="C16" s="8" t="n">
        <v>0.9</v>
      </c>
      <c r="D16" s="8" t="n">
        <v>0.51</v>
      </c>
      <c r="E16" s="8" t="inlineStr"/>
    </row>
    <row r="17">
      <c r="A17" s="8" t="inlineStr">
        <is>
          <t>May'23</t>
        </is>
      </c>
      <c r="B17" s="8" t="n">
        <v>179.1</v>
      </c>
      <c r="C17" s="8" t="n">
        <v>1.2</v>
      </c>
      <c r="D17" s="8" t="n">
        <v>0.67</v>
      </c>
      <c r="E17" s="8" t="inlineStr"/>
    </row>
    <row r="18"/>
    <row r="19">
      <c r="A19" s="16" t="inlineStr">
        <is>
          <t>Highest Food MoM Inflation: Oct'22 at 1.01%</t>
        </is>
      </c>
    </row>
    <row r="20">
      <c r="A20" s="17" t="inlineStr">
        <is>
          <t>Lowest Food MoM Inflation: Dec'22 at -1.35%</t>
        </is>
      </c>
    </row>
    <row r="21"/>
    <row r="22"/>
    <row r="23">
      <c r="A23" s="12" t="inlineStr">
        <is>
          <t>Part B: Absolute Change in Individual Food Sub-Categories (Jun 2022 to May 2023)</t>
        </is>
      </c>
    </row>
    <row r="24"/>
    <row r="25">
      <c r="A25" s="5" t="inlineStr">
        <is>
          <t>Food Sub-Category</t>
        </is>
      </c>
      <c r="B25" s="5" t="inlineStr">
        <is>
          <t>CPI Jun 2022</t>
        </is>
      </c>
      <c r="C25" s="5" t="inlineStr">
        <is>
          <t>CPI May 2023</t>
        </is>
      </c>
      <c r="D25" s="5" t="inlineStr">
        <is>
          <t>Absolute Change</t>
        </is>
      </c>
      <c r="E25" s="5" t="inlineStr">
        <is>
          <t>Rank</t>
        </is>
      </c>
    </row>
    <row r="26">
      <c r="A26" s="6" t="inlineStr">
        <is>
          <t>Oils and fats</t>
        </is>
      </c>
      <c r="B26" s="6" t="n">
        <v>200.9</v>
      </c>
      <c r="C26" s="6" t="n">
        <v>170</v>
      </c>
      <c r="D26" s="6" t="n">
        <v>-30.9</v>
      </c>
      <c r="E26" s="6" t="n">
        <v>1</v>
      </c>
    </row>
    <row r="27">
      <c r="A27" s="8" t="inlineStr">
        <is>
          <t>Spices</t>
        </is>
      </c>
      <c r="B27" s="8" t="n">
        <v>187.1</v>
      </c>
      <c r="C27" s="8" t="n">
        <v>218</v>
      </c>
      <c r="D27" s="8" t="n">
        <v>30.9</v>
      </c>
      <c r="E27" s="8" t="n">
        <v>2</v>
      </c>
    </row>
    <row r="28">
      <c r="A28" s="8" t="inlineStr">
        <is>
          <t>Vegetables</t>
        </is>
      </c>
      <c r="B28" s="8" t="n">
        <v>182.3</v>
      </c>
      <c r="C28" s="8" t="n">
        <v>161</v>
      </c>
      <c r="D28" s="8" t="n">
        <v>-21.3</v>
      </c>
      <c r="E28" s="8" t="n">
        <v>3</v>
      </c>
    </row>
    <row r="29">
      <c r="A29" s="8" t="inlineStr">
        <is>
          <t>Cereals and products</t>
        </is>
      </c>
      <c r="B29" s="8" t="n">
        <v>155</v>
      </c>
      <c r="C29" s="8" t="n">
        <v>173.7</v>
      </c>
      <c r="D29" s="8" t="n">
        <v>18.7</v>
      </c>
      <c r="E29" s="8" t="n">
        <v>4</v>
      </c>
    </row>
    <row r="30">
      <c r="A30" s="8" t="inlineStr">
        <is>
          <t>Milk and products</t>
        </is>
      </c>
      <c r="B30" s="8" t="n">
        <v>165.8</v>
      </c>
      <c r="C30" s="8" t="n">
        <v>179.5</v>
      </c>
      <c r="D30" s="8" t="n">
        <v>13.7</v>
      </c>
      <c r="E30" s="8" t="n">
        <v>5</v>
      </c>
    </row>
    <row r="31">
      <c r="A31" s="8" t="inlineStr">
        <is>
          <t>Pulses and products</t>
        </is>
      </c>
      <c r="B31" s="8" t="n">
        <v>164.3</v>
      </c>
      <c r="C31" s="8" t="n">
        <v>175.6</v>
      </c>
      <c r="D31" s="8" t="n">
        <v>11.3</v>
      </c>
      <c r="E31" s="8" t="n">
        <v>6</v>
      </c>
    </row>
    <row r="32">
      <c r="A32" s="8" t="inlineStr">
        <is>
          <t>Prepared meals, snacks, sweets etc.</t>
        </is>
      </c>
      <c r="B32" s="8" t="n">
        <v>183.9</v>
      </c>
      <c r="C32" s="8" t="n">
        <v>194.2</v>
      </c>
      <c r="D32" s="8" t="n">
        <v>10.3</v>
      </c>
      <c r="E32" s="8" t="n">
        <v>7</v>
      </c>
    </row>
    <row r="33">
      <c r="A33" s="8" t="inlineStr">
        <is>
          <t>Non-alcoholic beverages</t>
        </is>
      </c>
      <c r="B33" s="8" t="n">
        <v>167.9</v>
      </c>
      <c r="C33" s="8" t="n">
        <v>173.4</v>
      </c>
      <c r="D33" s="8" t="n">
        <v>5.5</v>
      </c>
      <c r="E33" s="8" t="n">
        <v>8</v>
      </c>
    </row>
    <row r="34">
      <c r="A34" s="8" t="inlineStr">
        <is>
          <t>Meat and fish</t>
        </is>
      </c>
      <c r="B34" s="8" t="n">
        <v>219.4</v>
      </c>
      <c r="C34" s="8" t="n">
        <v>214.3</v>
      </c>
      <c r="D34" s="8" t="n">
        <v>-5.1</v>
      </c>
      <c r="E34" s="8" t="n">
        <v>9</v>
      </c>
    </row>
    <row r="35">
      <c r="A35" s="8" t="inlineStr">
        <is>
          <t>Sugar and Confectionery</t>
        </is>
      </c>
      <c r="B35" s="8" t="n">
        <v>119.9</v>
      </c>
      <c r="C35" s="8" t="n">
        <v>122.7</v>
      </c>
      <c r="D35" s="8" t="n">
        <v>2.8</v>
      </c>
      <c r="E35" s="8" t="n">
        <v>10</v>
      </c>
    </row>
    <row r="36">
      <c r="A36" s="8" t="inlineStr">
        <is>
          <t>Fruits</t>
        </is>
      </c>
      <c r="B36" s="8" t="n">
        <v>169.7</v>
      </c>
      <c r="C36" s="8" t="n">
        <v>172.2</v>
      </c>
      <c r="D36" s="8" t="n">
        <v>2.5</v>
      </c>
      <c r="E36" s="8" t="n">
        <v>11</v>
      </c>
    </row>
    <row r="37">
      <c r="A37" s="8" t="inlineStr">
        <is>
          <t>Egg</t>
        </is>
      </c>
      <c r="B37" s="8" t="n">
        <v>170.8</v>
      </c>
      <c r="C37" s="8" t="n">
        <v>173.2</v>
      </c>
      <c r="D37" s="8" t="n">
        <v>2.4</v>
      </c>
      <c r="E37" s="8" t="n">
        <v>12</v>
      </c>
    </row>
    <row r="38"/>
    <row r="39">
      <c r="A39" s="11" t="inlineStr">
        <is>
          <t>Biggest contributor to food inflation: 'Oils and fats' with absolute change of -30.9 index points.</t>
        </is>
      </c>
    </row>
  </sheetData>
  <mergeCells count="6">
    <mergeCell ref="A39:E39"/>
    <mergeCell ref="A20:E20"/>
    <mergeCell ref="A1:F1"/>
    <mergeCell ref="A19:E19"/>
    <mergeCell ref="A23:E23"/>
    <mergeCell ref="A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2"/>
  <sheetViews>
    <sheetView workbookViewId="0">
      <selection activeCell="A1" sqref="A1"/>
    </sheetView>
  </sheetViews>
  <sheetFormatPr baseColWidth="8" defaultRowHeight="15"/>
  <cols>
    <col width="35" customWidth="1" min="1" max="1"/>
    <col width="23" customWidth="1" min="2" max="2"/>
    <col width="30" customWidth="1" min="3" max="3"/>
    <col width="26" customWidth="1" min="4" max="4"/>
    <col width="25" customWidth="1" min="5" max="5"/>
    <col width="35" customWidth="1" min="6" max="6"/>
    <col width="35" customWidth="1" min="7" max="7"/>
  </cols>
  <sheetData>
    <row r="1">
      <c r="A1" s="4" t="inlineStr">
        <is>
          <t>Q4: Impact of COVID-19 on CPI Inflation (Before &amp; After Mar 2020)</t>
        </is>
      </c>
    </row>
    <row r="2"/>
    <row r="3">
      <c r="A3" s="12" t="inlineStr">
        <is>
          <t>Part A: Monthly CPI Values &amp; MoM Inflation % – Key Categories Around COVID</t>
        </is>
      </c>
    </row>
    <row r="4"/>
    <row r="5">
      <c r="A5" s="5" t="inlineStr">
        <is>
          <t>Month-Year</t>
        </is>
      </c>
      <c r="B5" s="5" t="inlineStr">
        <is>
          <t>Health (MoM %)</t>
        </is>
      </c>
      <c r="C5" s="5" t="inlineStr">
        <is>
          <t>Food and beverages (MoM %)</t>
        </is>
      </c>
      <c r="D5" s="5" t="inlineStr">
        <is>
          <t>Fuel and light (MoM %)</t>
        </is>
      </c>
      <c r="E5" s="5" t="inlineStr">
        <is>
          <t>General index (MoM %)</t>
        </is>
      </c>
      <c r="F5" s="5" t="inlineStr">
        <is>
          <t>Transport and communication (MoM %)</t>
        </is>
      </c>
      <c r="G5" s="5" t="inlineStr">
        <is>
          <t>Household goods and services (MoM %)</t>
        </is>
      </c>
    </row>
    <row r="6">
      <c r="A6" s="8" t="inlineStr">
        <is>
          <t>Feb'19</t>
        </is>
      </c>
      <c r="B6" s="8" t="n">
        <v>0.34</v>
      </c>
      <c r="C6" s="8" t="n">
        <v>0.07000000000000001</v>
      </c>
      <c r="D6" s="8" t="n">
        <v>-0.79</v>
      </c>
      <c r="E6" s="8" t="n">
        <v>0.21</v>
      </c>
      <c r="F6" s="8" t="n">
        <v>0.49</v>
      </c>
      <c r="G6" s="8" t="n">
        <v>0.07000000000000001</v>
      </c>
    </row>
    <row r="7">
      <c r="A7" s="8" t="inlineStr">
        <is>
          <t>Mar'19</t>
        </is>
      </c>
      <c r="B7" s="8" t="n">
        <v>0.41</v>
      </c>
      <c r="C7" s="8" t="n">
        <v>0.44</v>
      </c>
      <c r="D7" s="8" t="n">
        <v>0.9399999999999999</v>
      </c>
      <c r="E7" s="8" t="n">
        <v>0.36</v>
      </c>
      <c r="F7" s="8" t="n">
        <v>0.5600000000000001</v>
      </c>
      <c r="G7" s="8" t="n">
        <v>0.07000000000000001</v>
      </c>
    </row>
    <row r="8">
      <c r="A8" s="8" t="inlineStr">
        <is>
          <t>May'19</t>
        </is>
      </c>
      <c r="B8" s="8" t="n">
        <v>0.48</v>
      </c>
      <c r="C8" s="8" t="n">
        <v>2.03</v>
      </c>
      <c r="D8" s="8" t="n">
        <v>0.43</v>
      </c>
      <c r="E8" s="8" t="n">
        <v>1.14</v>
      </c>
      <c r="F8" s="8" t="n">
        <v>0.24</v>
      </c>
      <c r="G8" s="8" t="n">
        <v>-0.07000000000000001</v>
      </c>
    </row>
    <row r="9">
      <c r="A9" s="8" t="inlineStr">
        <is>
          <t>Jun'19</t>
        </is>
      </c>
      <c r="B9" s="8" t="n">
        <v>0.34</v>
      </c>
      <c r="C9" s="8" t="n">
        <v>1.28</v>
      </c>
      <c r="D9" s="8" t="n">
        <v>0.64</v>
      </c>
      <c r="E9" s="8" t="n">
        <v>0.63</v>
      </c>
      <c r="F9" s="8" t="n">
        <v>-0.24</v>
      </c>
      <c r="G9" s="8" t="n">
        <v>0.07000000000000001</v>
      </c>
    </row>
    <row r="10">
      <c r="A10" s="8" t="inlineStr">
        <is>
          <t>Jul'19</t>
        </is>
      </c>
      <c r="B10" s="8" t="n">
        <v>0.34</v>
      </c>
      <c r="C10" s="8" t="n">
        <v>1.4</v>
      </c>
      <c r="D10" s="8" t="n">
        <v>-1.35</v>
      </c>
      <c r="E10" s="8" t="n">
        <v>0.91</v>
      </c>
      <c r="F10" s="8" t="n">
        <v>0.8</v>
      </c>
      <c r="G10" s="8" t="n">
        <v>0.28</v>
      </c>
    </row>
    <row r="11">
      <c r="A11" s="8" t="inlineStr">
        <is>
          <t>Aug'19</t>
        </is>
      </c>
      <c r="B11" s="8" t="n">
        <v>0.41</v>
      </c>
      <c r="C11" s="8" t="n">
        <v>0.83</v>
      </c>
      <c r="D11" s="8" t="n">
        <v>-0.57</v>
      </c>
      <c r="E11" s="8" t="n">
        <v>0.55</v>
      </c>
      <c r="F11" s="8" t="n">
        <v>0.16</v>
      </c>
      <c r="G11" s="8" t="n">
        <v>0.21</v>
      </c>
    </row>
    <row r="12">
      <c r="A12" s="8" t="inlineStr">
        <is>
          <t>Sep'19</t>
        </is>
      </c>
      <c r="B12" s="8" t="n">
        <v>0.34</v>
      </c>
      <c r="C12" s="8" t="n">
        <v>0.75</v>
      </c>
      <c r="D12" s="8" t="n">
        <v>0.51</v>
      </c>
      <c r="E12" s="8" t="n">
        <v>0.55</v>
      </c>
      <c r="F12" s="8" t="n">
        <v>0.24</v>
      </c>
      <c r="G12" s="8" t="n">
        <v>0.07000000000000001</v>
      </c>
    </row>
    <row r="13">
      <c r="A13" s="8" t="inlineStr">
        <is>
          <t>Oct'19</t>
        </is>
      </c>
      <c r="B13" s="8" t="n">
        <v>0.27</v>
      </c>
      <c r="C13" s="8" t="n">
        <v>1.77</v>
      </c>
      <c r="D13" s="8" t="n">
        <v>1.01</v>
      </c>
      <c r="E13" s="8" t="n">
        <v>0.96</v>
      </c>
      <c r="F13" s="8" t="n">
        <v>0.16</v>
      </c>
      <c r="G13" s="8" t="n">
        <v>0.28</v>
      </c>
    </row>
    <row r="14">
      <c r="A14" s="8" t="inlineStr">
        <is>
          <t>Nov'19</t>
        </is>
      </c>
      <c r="B14" s="8" t="n">
        <v>0.33</v>
      </c>
      <c r="C14" s="8" t="n">
        <v>1.54</v>
      </c>
      <c r="D14" s="8" t="n">
        <v>1.21</v>
      </c>
      <c r="E14" s="8" t="n">
        <v>0.95</v>
      </c>
      <c r="F14" s="8" t="n">
        <v>0.24</v>
      </c>
      <c r="G14" s="8" t="n">
        <v>0.21</v>
      </c>
    </row>
    <row r="15">
      <c r="A15" s="8" t="inlineStr">
        <is>
          <t>Dec'19</t>
        </is>
      </c>
      <c r="B15" s="8" t="n">
        <v>0.33</v>
      </c>
      <c r="C15" s="8" t="n">
        <v>2.04</v>
      </c>
      <c r="D15" s="8" t="n">
        <v>0.98</v>
      </c>
      <c r="E15" s="8" t="n">
        <v>1.21</v>
      </c>
      <c r="F15" s="8" t="n">
        <v>2.53</v>
      </c>
      <c r="G15" s="8" t="n">
        <v>0.34</v>
      </c>
    </row>
    <row r="16">
      <c r="A16" s="8" t="inlineStr">
        <is>
          <t>Jan'20</t>
        </is>
      </c>
      <c r="B16" s="8" t="n">
        <v>0.53</v>
      </c>
      <c r="C16" s="8" t="n">
        <v>-0.97</v>
      </c>
      <c r="D16" s="8" t="n">
        <v>0.63</v>
      </c>
      <c r="E16" s="8" t="n">
        <v>-0.13</v>
      </c>
      <c r="F16" s="8" t="n">
        <v>0.85</v>
      </c>
      <c r="G16" s="8" t="n">
        <v>0.27</v>
      </c>
    </row>
    <row r="17">
      <c r="A17" s="8" t="inlineStr">
        <is>
          <t>Feb'20</t>
        </is>
      </c>
      <c r="B17" s="8" t="n">
        <v>0.33</v>
      </c>
      <c r="C17" s="8" t="n">
        <v>-1.95</v>
      </c>
      <c r="D17" s="8" t="n">
        <v>1.8</v>
      </c>
      <c r="E17" s="8" t="n">
        <v>-0.73</v>
      </c>
      <c r="F17" s="8" t="n">
        <v>-0.46</v>
      </c>
      <c r="G17" s="8" t="n">
        <v>0.14</v>
      </c>
    </row>
    <row r="18">
      <c r="A18" s="15" t="inlineStr">
        <is>
          <t>Mar'20</t>
        </is>
      </c>
      <c r="B18" s="15" t="n">
        <v>0.4</v>
      </c>
      <c r="C18" s="15" t="n">
        <v>-1.06</v>
      </c>
      <c r="D18" s="15" t="n">
        <v>1.15</v>
      </c>
      <c r="E18" s="15" t="n">
        <v>-0.34</v>
      </c>
      <c r="F18" s="15" t="n">
        <v>-0.31</v>
      </c>
      <c r="G18" s="15" t="n">
        <v>0</v>
      </c>
    </row>
    <row r="19">
      <c r="A19" s="15" t="inlineStr">
        <is>
          <t>Apr'20</t>
        </is>
      </c>
      <c r="B19" s="15" t="n">
        <v>-1.05</v>
      </c>
      <c r="C19" s="15" t="n">
        <v>1.68</v>
      </c>
      <c r="D19" s="15" t="n">
        <v>-3.22</v>
      </c>
      <c r="E19" s="15" t="n">
        <v>0</v>
      </c>
      <c r="F19" s="15" t="n">
        <v>0</v>
      </c>
      <c r="G19" s="15" t="n">
        <v>0</v>
      </c>
    </row>
    <row r="20">
      <c r="A20" s="8" t="inlineStr">
        <is>
          <t>May'20</t>
        </is>
      </c>
      <c r="B20" s="8" t="n">
        <v>0</v>
      </c>
      <c r="C20" s="8" t="n">
        <v>0</v>
      </c>
      <c r="D20" s="8" t="n">
        <v>0</v>
      </c>
      <c r="E20" s="8" t="n">
        <v>0</v>
      </c>
      <c r="F20" s="8" t="n">
        <v>0</v>
      </c>
      <c r="G20" s="8" t="n">
        <v>0</v>
      </c>
    </row>
    <row r="21">
      <c r="A21" s="8" t="inlineStr">
        <is>
          <t>Jun'20</t>
        </is>
      </c>
      <c r="B21" s="8" t="n">
        <v>2.46</v>
      </c>
      <c r="C21" s="8" t="n">
        <v>1.72</v>
      </c>
      <c r="D21" s="8" t="n">
        <v>-1.53</v>
      </c>
      <c r="E21" s="8" t="n">
        <v>2.15</v>
      </c>
      <c r="F21" s="8" t="n">
        <v>3.93</v>
      </c>
      <c r="G21" s="8" t="n">
        <v>0</v>
      </c>
    </row>
    <row r="22">
      <c r="A22" s="8" t="inlineStr">
        <is>
          <t>Jul'20</t>
        </is>
      </c>
      <c r="B22" s="8" t="n">
        <v>0</v>
      </c>
      <c r="C22" s="8" t="n">
        <v>0</v>
      </c>
      <c r="D22" s="8" t="n">
        <v>0</v>
      </c>
      <c r="E22" s="8" t="n">
        <v>0</v>
      </c>
      <c r="F22" s="8" t="n">
        <v>0</v>
      </c>
      <c r="G22" s="8" t="n">
        <v>0</v>
      </c>
    </row>
    <row r="23">
      <c r="A23" s="8" t="inlineStr">
        <is>
          <t>Aug'20</t>
        </is>
      </c>
      <c r="B23" s="8" t="n">
        <v>0.39</v>
      </c>
      <c r="C23" s="8" t="n">
        <v>1.95</v>
      </c>
      <c r="D23" s="8" t="n">
        <v>0.78</v>
      </c>
      <c r="E23" s="8" t="n">
        <v>1.38</v>
      </c>
      <c r="F23" s="8" t="n">
        <v>2.59</v>
      </c>
      <c r="G23" s="8" t="n">
        <v>1.37</v>
      </c>
    </row>
    <row r="24">
      <c r="A24" s="8" t="inlineStr">
        <is>
          <t>Sep'20</t>
        </is>
      </c>
      <c r="B24" s="8" t="n">
        <v>0.39</v>
      </c>
      <c r="C24" s="8" t="n">
        <v>0.64</v>
      </c>
      <c r="D24" s="8" t="n">
        <v>-0.07000000000000001</v>
      </c>
      <c r="E24" s="8" t="n">
        <v>0.52</v>
      </c>
      <c r="F24" s="8" t="n">
        <v>0.79</v>
      </c>
      <c r="G24" s="8" t="n">
        <v>0.2</v>
      </c>
    </row>
    <row r="25">
      <c r="A25" s="8" t="inlineStr">
        <is>
          <t>Oct'20</t>
        </is>
      </c>
      <c r="B25" s="8" t="n">
        <v>0.45</v>
      </c>
      <c r="C25" s="8" t="n">
        <v>2.15</v>
      </c>
      <c r="D25" s="8" t="n">
        <v>0.14</v>
      </c>
      <c r="E25" s="8" t="n">
        <v>1.1</v>
      </c>
      <c r="F25" s="8" t="n">
        <v>0.72</v>
      </c>
      <c r="G25" s="8" t="n">
        <v>0</v>
      </c>
    </row>
    <row r="26">
      <c r="A26" s="8" t="inlineStr">
        <is>
          <t>Nov'20</t>
        </is>
      </c>
      <c r="B26" s="8" t="n">
        <v>0.58</v>
      </c>
      <c r="C26" s="8" t="n">
        <v>2.04</v>
      </c>
      <c r="D26" s="8" t="n">
        <v>0.35</v>
      </c>
      <c r="E26" s="8" t="n">
        <v>1.28</v>
      </c>
      <c r="F26" s="8" t="n">
        <v>-0.14</v>
      </c>
      <c r="G26" s="8" t="n">
        <v>0.34</v>
      </c>
    </row>
    <row r="27">
      <c r="A27" s="8" t="inlineStr">
        <is>
          <t>Dec'20</t>
        </is>
      </c>
      <c r="B27" s="8" t="n">
        <v>0.7</v>
      </c>
      <c r="C27" s="8" t="n">
        <v>0.43</v>
      </c>
      <c r="D27" s="8" t="n">
        <v>0.7</v>
      </c>
      <c r="E27" s="8" t="n">
        <v>0.32</v>
      </c>
      <c r="F27" s="8" t="n">
        <v>0.21</v>
      </c>
      <c r="G27" s="8" t="n">
        <v>0.34</v>
      </c>
    </row>
    <row r="28">
      <c r="A28" s="8" t="inlineStr">
        <is>
          <t>Jan'21</t>
        </is>
      </c>
      <c r="B28" s="8" t="n">
        <v>0.63</v>
      </c>
      <c r="C28" s="8" t="n">
        <v>-2.66</v>
      </c>
      <c r="D28" s="8" t="n">
        <v>2.28</v>
      </c>
      <c r="E28" s="8" t="n">
        <v>-1.01</v>
      </c>
      <c r="F28" s="8" t="n">
        <v>0.85</v>
      </c>
      <c r="G28" s="8" t="n">
        <v>0.2</v>
      </c>
    </row>
    <row r="29">
      <c r="A29" s="8" t="inlineStr">
        <is>
          <t>Feb'21</t>
        </is>
      </c>
      <c r="B29" s="8" t="n">
        <v>1.26</v>
      </c>
      <c r="C29" s="8" t="n">
        <v>-2.55</v>
      </c>
      <c r="D29" s="8" t="n">
        <v>3.04</v>
      </c>
      <c r="E29" s="8" t="n">
        <v>-0.45</v>
      </c>
      <c r="F29" s="8" t="n">
        <v>2.26</v>
      </c>
      <c r="G29" s="8" t="n">
        <v>0.6</v>
      </c>
    </row>
    <row r="30">
      <c r="A30" s="8" t="inlineStr">
        <is>
          <t>Mar'21</t>
        </is>
      </c>
      <c r="B30" s="8" t="n">
        <v>0.25</v>
      </c>
      <c r="C30" s="8" t="n">
        <v>-0.13</v>
      </c>
      <c r="D30" s="8" t="n">
        <v>2.03</v>
      </c>
      <c r="E30" s="8" t="n">
        <v>0.13</v>
      </c>
      <c r="F30" s="8" t="n">
        <v>0.76</v>
      </c>
      <c r="G30" s="8" t="n">
        <v>0.2</v>
      </c>
    </row>
    <row r="31">
      <c r="A31" s="8" t="inlineStr">
        <is>
          <t>Apr'21</t>
        </is>
      </c>
      <c r="B31" s="8" t="n">
        <v>0.37</v>
      </c>
      <c r="C31" s="8" t="n">
        <v>0.83</v>
      </c>
      <c r="D31" s="8" t="n">
        <v>0.06</v>
      </c>
      <c r="E31" s="8" t="n">
        <v>0.64</v>
      </c>
      <c r="F31" s="8" t="n">
        <v>0.27</v>
      </c>
      <c r="G31" s="8" t="n">
        <v>0.4</v>
      </c>
    </row>
    <row r="32">
      <c r="A32" s="8" t="inlineStr">
        <is>
          <t>May'21</t>
        </is>
      </c>
      <c r="B32" s="8" t="n">
        <v>2.16</v>
      </c>
      <c r="C32" s="8" t="n">
        <v>1.71</v>
      </c>
      <c r="D32" s="8" t="n">
        <v>2.44</v>
      </c>
      <c r="E32" s="8" t="n">
        <v>1.65</v>
      </c>
      <c r="F32" s="8" t="n">
        <v>1.57</v>
      </c>
      <c r="G32" s="8" t="n">
        <v>1.91</v>
      </c>
    </row>
    <row r="33">
      <c r="A33" s="8" t="inlineStr">
        <is>
          <t>Jun'21</t>
        </is>
      </c>
      <c r="B33" s="8" t="n">
        <v>0.3</v>
      </c>
      <c r="C33" s="8" t="n">
        <v>1.18</v>
      </c>
      <c r="D33" s="8" t="n">
        <v>0.25</v>
      </c>
      <c r="E33" s="8" t="n">
        <v>0.5600000000000001</v>
      </c>
      <c r="F33" s="8" t="n">
        <v>1.21</v>
      </c>
      <c r="G33" s="8" t="n">
        <v>0.06</v>
      </c>
    </row>
    <row r="34">
      <c r="A34" s="8" t="inlineStr">
        <is>
          <t>Jul'21</t>
        </is>
      </c>
      <c r="B34" s="8" t="n">
        <v>0.42</v>
      </c>
      <c r="C34" s="8" t="n">
        <v>0.86</v>
      </c>
      <c r="D34" s="8" t="n">
        <v>0.5600000000000001</v>
      </c>
      <c r="E34" s="8" t="n">
        <v>0.74</v>
      </c>
      <c r="F34" s="8" t="n">
        <v>1.59</v>
      </c>
      <c r="G34" s="8" t="n">
        <v>0.65</v>
      </c>
    </row>
    <row r="35">
      <c r="A35" s="8" t="inlineStr">
        <is>
          <t>Aug'21</t>
        </is>
      </c>
      <c r="B35" s="8" t="n">
        <v>0.84</v>
      </c>
      <c r="C35" s="8" t="n">
        <v>0</v>
      </c>
      <c r="D35" s="8" t="n">
        <v>1.18</v>
      </c>
      <c r="E35" s="8" t="n">
        <v>0.43</v>
      </c>
      <c r="F35" s="8" t="n">
        <v>0.59</v>
      </c>
      <c r="G35" s="8" t="n">
        <v>1.09</v>
      </c>
    </row>
    <row r="36">
      <c r="A36" s="8" t="inlineStr">
        <is>
          <t>Sep'21</t>
        </is>
      </c>
      <c r="B36" s="8" t="n">
        <v>0</v>
      </c>
      <c r="C36" s="8" t="n">
        <v>0</v>
      </c>
      <c r="D36" s="8" t="n">
        <v>0</v>
      </c>
      <c r="E36" s="8" t="n">
        <v>0</v>
      </c>
      <c r="F36" s="8" t="n">
        <v>0</v>
      </c>
      <c r="G36" s="8" t="n">
        <v>0</v>
      </c>
    </row>
    <row r="37">
      <c r="A37" s="8" t="inlineStr">
        <is>
          <t>Oct'21</t>
        </is>
      </c>
      <c r="B37" s="8" t="n">
        <v>0.42</v>
      </c>
      <c r="C37" s="8" t="n">
        <v>2.26</v>
      </c>
      <c r="D37" s="8" t="n">
        <v>0.98</v>
      </c>
      <c r="E37" s="8" t="n">
        <v>1.41</v>
      </c>
      <c r="F37" s="8" t="n">
        <v>1.1</v>
      </c>
      <c r="G37" s="8" t="n">
        <v>0.57</v>
      </c>
    </row>
    <row r="38">
      <c r="A38" s="8" t="inlineStr">
        <is>
          <t>Nov'21</t>
        </is>
      </c>
      <c r="B38" s="8" t="n">
        <v>0.47</v>
      </c>
      <c r="C38" s="8" t="n">
        <v>1.19</v>
      </c>
      <c r="D38" s="8" t="n">
        <v>-0.18</v>
      </c>
      <c r="E38" s="8" t="n">
        <v>0.73</v>
      </c>
      <c r="F38" s="8" t="n">
        <v>-0.58</v>
      </c>
      <c r="G38" s="8" t="n">
        <v>0.57</v>
      </c>
    </row>
    <row r="39">
      <c r="A39" s="8" t="inlineStr">
        <is>
          <t>Dec'21</t>
        </is>
      </c>
      <c r="B39" s="8" t="n">
        <v>0.41</v>
      </c>
      <c r="C39" s="8" t="n">
        <v>-0.88</v>
      </c>
      <c r="D39" s="8" t="n">
        <v>0.12</v>
      </c>
      <c r="E39" s="8" t="n">
        <v>-0.3</v>
      </c>
      <c r="F39" s="8" t="n">
        <v>0.58</v>
      </c>
      <c r="G39" s="8" t="n">
        <v>0.5600000000000001</v>
      </c>
    </row>
    <row r="40"/>
    <row r="41"/>
    <row r="42">
      <c r="A42" s="12" t="inlineStr">
        <is>
          <t>Part B: Average MoM Inflation % – Pre-COVID (Apr'19-Feb'20) vs Post-COVID (Apr'20-Feb'21)</t>
        </is>
      </c>
    </row>
    <row r="43"/>
    <row r="44">
      <c r="A44" s="5" t="inlineStr">
        <is>
          <t>Category</t>
        </is>
      </c>
      <c r="B44" s="5" t="inlineStr">
        <is>
          <t>Avg MoM % Pre-COVID</t>
        </is>
      </c>
      <c r="C44" s="5" t="inlineStr">
        <is>
          <t>Avg MoM % Post-COVID</t>
        </is>
      </c>
      <c r="D44" s="5" t="inlineStr">
        <is>
          <t>Difference (pp)</t>
        </is>
      </c>
      <c r="E44" s="5" t="inlineStr">
        <is>
          <t>Impact</t>
        </is>
      </c>
    </row>
    <row r="45">
      <c r="A45" s="8" t="inlineStr">
        <is>
          <t>Health</t>
        </is>
      </c>
      <c r="B45" s="8" t="n">
        <v>0.358</v>
      </c>
      <c r="C45" s="8" t="n">
        <v>0.6840000000000001</v>
      </c>
      <c r="D45" s="8" t="n">
        <v>0.326</v>
      </c>
      <c r="E45" s="8" t="inlineStr">
        <is>
          <t>↑ Increased</t>
        </is>
      </c>
    </row>
    <row r="46">
      <c r="A46" s="8" t="inlineStr">
        <is>
          <t>Food and beverages</t>
        </is>
      </c>
      <c r="B46" s="8" t="n">
        <v>0.743</v>
      </c>
      <c r="C46" s="8" t="n">
        <v>0.372</v>
      </c>
      <c r="D46" s="8" t="n">
        <v>-0.371</v>
      </c>
      <c r="E46" s="8" t="inlineStr">
        <is>
          <t>↓ Decreased</t>
        </is>
      </c>
    </row>
    <row r="47">
      <c r="A47" s="8" t="inlineStr">
        <is>
          <t>Fuel and light</t>
        </is>
      </c>
      <c r="B47" s="8" t="n">
        <v>0.539</v>
      </c>
      <c r="C47" s="8" t="n">
        <v>0.569</v>
      </c>
      <c r="D47" s="8" t="n">
        <v>0.03</v>
      </c>
      <c r="E47" s="8" t="inlineStr">
        <is>
          <t>↑ Increased</t>
        </is>
      </c>
    </row>
    <row r="48">
      <c r="A48" s="8" t="inlineStr">
        <is>
          <t>General index</t>
        </is>
      </c>
      <c r="B48" s="8" t="n">
        <v>0.545</v>
      </c>
      <c r="C48" s="8" t="n">
        <v>0.53</v>
      </c>
      <c r="D48" s="8" t="n">
        <v>-0.015</v>
      </c>
      <c r="E48" s="8" t="inlineStr">
        <is>
          <t>↓ Decreased</t>
        </is>
      </c>
    </row>
    <row r="49">
      <c r="A49" s="8" t="inlineStr">
        <is>
          <t>Transport and communication</t>
        </is>
      </c>
      <c r="B49" s="8" t="n">
        <v>0.475</v>
      </c>
      <c r="C49" s="8" t="n">
        <v>1.121</v>
      </c>
      <c r="D49" s="8" t="n">
        <v>0.646</v>
      </c>
      <c r="E49" s="8" t="inlineStr">
        <is>
          <t>↑ Increased</t>
        </is>
      </c>
    </row>
    <row r="50">
      <c r="A50" s="8" t="inlineStr">
        <is>
          <t>Household goods and services</t>
        </is>
      </c>
      <c r="B50" s="8" t="n">
        <v>0.207</v>
      </c>
      <c r="C50" s="8" t="n">
        <v>0.304</v>
      </c>
      <c r="D50" s="8" t="n">
        <v>0.097</v>
      </c>
      <c r="E50" s="8" t="inlineStr">
        <is>
          <t>↑ Increased</t>
        </is>
      </c>
    </row>
    <row r="51"/>
    <row r="52"/>
    <row r="53"/>
    <row r="54"/>
    <row r="55"/>
    <row r="56"/>
    <row r="57"/>
    <row r="58"/>
    <row r="59"/>
    <row r="60"/>
    <row r="61"/>
    <row r="62"/>
    <row r="63"/>
    <row r="64"/>
    <row r="65"/>
    <row r="66"/>
    <row r="67"/>
    <row r="68"/>
    <row r="69">
      <c r="A69" s="12" t="inlineStr">
        <is>
          <t>COVID-19 Impact Summary:</t>
        </is>
      </c>
    </row>
    <row r="70">
      <c r="A70" s="13" t="inlineStr">
        <is>
          <t>The onset of COVID-19 (Mar 2020) and the subsequent national lockdown caused significant disruptions. Food prices spiked due to supply chain breakdowns, while fuel and transport costs initially dropped due to demand collapse. Health costs rose as demand for medical services surged. Post-lockdown recovery saw elevated inflation across most categories as pent-up demand met constrained supply.</t>
        </is>
      </c>
    </row>
    <row r="71"/>
    <row r="72"/>
  </sheetData>
  <mergeCells count="5">
    <mergeCell ref="A69:E69"/>
    <mergeCell ref="A3:G3"/>
    <mergeCell ref="A1:F1"/>
    <mergeCell ref="A42:E42"/>
    <mergeCell ref="A70:F7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5" customWidth="1" min="1" max="1"/>
    <col width="30" customWidth="1" min="2" max="2"/>
    <col width="22" customWidth="1" min="3" max="3"/>
    <col width="8" customWidth="1" min="4" max="4"/>
  </cols>
  <sheetData>
    <row r="1">
      <c r="A1" s="4" t="inlineStr">
        <is>
          <t>Q5: Impact of Crude Oil Price Fluctuations on CPI Categories (2021-2023)</t>
        </is>
      </c>
    </row>
    <row r="2"/>
    <row r="3">
      <c r="A3" s="12" t="inlineStr">
        <is>
          <t>Part A: Crude Oil Price MoM Changes (India Basket, 2021-2023)</t>
        </is>
      </c>
    </row>
    <row r="4"/>
    <row r="5">
      <c r="A5" s="5" t="inlineStr">
        <is>
          <t>Month-Year</t>
        </is>
      </c>
      <c r="B5" s="5" t="inlineStr">
        <is>
          <t>Oil Price (USD/bbl)</t>
        </is>
      </c>
      <c r="C5" s="5" t="inlineStr">
        <is>
          <t>Oil MoM Change (%)</t>
        </is>
      </c>
    </row>
    <row r="6">
      <c r="A6" s="8" t="inlineStr">
        <is>
          <t>Feb'21</t>
        </is>
      </c>
      <c r="B6" s="8" t="n">
        <v>61</v>
      </c>
      <c r="C6" s="8" t="n">
        <v>11.93</v>
      </c>
    </row>
    <row r="7">
      <c r="A7" s="8" t="inlineStr">
        <is>
          <t>Mar'21</t>
        </is>
      </c>
      <c r="B7" s="8" t="n">
        <v>65</v>
      </c>
      <c r="C7" s="8" t="n">
        <v>6.56</v>
      </c>
    </row>
    <row r="8">
      <c r="A8" s="8" t="inlineStr">
        <is>
          <t>Apr'21</t>
        </is>
      </c>
      <c r="B8" s="8" t="n">
        <v>63.5</v>
      </c>
      <c r="C8" s="8" t="n">
        <v>-2.31</v>
      </c>
    </row>
    <row r="9">
      <c r="A9" s="8" t="inlineStr">
        <is>
          <t>May'21</t>
        </is>
      </c>
      <c r="B9" s="8" t="n">
        <v>66.90000000000001</v>
      </c>
      <c r="C9" s="8" t="n">
        <v>5.35</v>
      </c>
    </row>
    <row r="10">
      <c r="A10" s="8" t="inlineStr">
        <is>
          <t>Jun'21</t>
        </is>
      </c>
      <c r="B10" s="8" t="n">
        <v>72.8</v>
      </c>
      <c r="C10" s="8" t="n">
        <v>8.82</v>
      </c>
    </row>
    <row r="11">
      <c r="A11" s="8" t="inlineStr">
        <is>
          <t>Jul'21</t>
        </is>
      </c>
      <c r="B11" s="8" t="n">
        <v>73.5</v>
      </c>
      <c r="C11" s="8" t="n">
        <v>0.96</v>
      </c>
    </row>
    <row r="12">
      <c r="A12" s="8" t="inlineStr">
        <is>
          <t>Aug'21</t>
        </is>
      </c>
      <c r="B12" s="8" t="n">
        <v>70.2</v>
      </c>
      <c r="C12" s="8" t="n">
        <v>-4.49</v>
      </c>
    </row>
    <row r="13">
      <c r="A13" s="8" t="inlineStr">
        <is>
          <t>Sep'21</t>
        </is>
      </c>
      <c r="B13" s="8" t="n">
        <v>74.3</v>
      </c>
      <c r="C13" s="8" t="n">
        <v>5.84</v>
      </c>
    </row>
    <row r="14">
      <c r="A14" s="8" t="inlineStr">
        <is>
          <t>Oct'21</t>
        </is>
      </c>
      <c r="B14" s="8" t="n">
        <v>82.8</v>
      </c>
      <c r="C14" s="8" t="n">
        <v>11.44</v>
      </c>
    </row>
    <row r="15">
      <c r="A15" s="8" t="inlineStr">
        <is>
          <t>Nov'21</t>
        </is>
      </c>
      <c r="B15" s="8" t="n">
        <v>80.7</v>
      </c>
      <c r="C15" s="8" t="n">
        <v>-2.54</v>
      </c>
    </row>
    <row r="16">
      <c r="A16" s="8" t="inlineStr">
        <is>
          <t>Dec'21</t>
        </is>
      </c>
      <c r="B16" s="8" t="n">
        <v>74.2</v>
      </c>
      <c r="C16" s="8" t="n">
        <v>-8.050000000000001</v>
      </c>
    </row>
    <row r="17">
      <c r="A17" s="8" t="inlineStr">
        <is>
          <t>Jan'22</t>
        </is>
      </c>
      <c r="B17" s="8" t="n">
        <v>86</v>
      </c>
      <c r="C17" s="8" t="n">
        <v>15.9</v>
      </c>
    </row>
    <row r="18">
      <c r="A18" s="8" t="inlineStr">
        <is>
          <t>Feb'22</t>
        </is>
      </c>
      <c r="B18" s="8" t="n">
        <v>94.09999999999999</v>
      </c>
      <c r="C18" s="8" t="n">
        <v>9.42</v>
      </c>
    </row>
    <row r="19">
      <c r="A19" s="8" t="inlineStr">
        <is>
          <t>Mar'22</t>
        </is>
      </c>
      <c r="B19" s="8" t="n">
        <v>112.9</v>
      </c>
      <c r="C19" s="8" t="n">
        <v>19.98</v>
      </c>
    </row>
    <row r="20">
      <c r="A20" s="8" t="inlineStr">
        <is>
          <t>Apr'22</t>
        </is>
      </c>
      <c r="B20" s="8" t="n">
        <v>105.5</v>
      </c>
      <c r="C20" s="8" t="n">
        <v>-6.55</v>
      </c>
    </row>
    <row r="21">
      <c r="A21" s="8" t="inlineStr">
        <is>
          <t>May'22</t>
        </is>
      </c>
      <c r="B21" s="8" t="n">
        <v>109.3</v>
      </c>
      <c r="C21" s="8" t="n">
        <v>3.6</v>
      </c>
    </row>
    <row r="22">
      <c r="A22" s="8" t="inlineStr">
        <is>
          <t>Jun'22</t>
        </is>
      </c>
      <c r="B22" s="8" t="n">
        <v>116</v>
      </c>
      <c r="C22" s="8" t="n">
        <v>6.13</v>
      </c>
    </row>
    <row r="23">
      <c r="A23" s="8" t="inlineStr">
        <is>
          <t>Jul'22</t>
        </is>
      </c>
      <c r="B23" s="8" t="n">
        <v>105.2</v>
      </c>
      <c r="C23" s="8" t="n">
        <v>-9.31</v>
      </c>
    </row>
    <row r="24">
      <c r="A24" s="8" t="inlineStr">
        <is>
          <t>Aug'22</t>
        </is>
      </c>
      <c r="B24" s="8" t="n">
        <v>97.40000000000001</v>
      </c>
      <c r="C24" s="8" t="n">
        <v>-7.41</v>
      </c>
    </row>
    <row r="25">
      <c r="A25" s="8" t="inlineStr">
        <is>
          <t>Sep'22</t>
        </is>
      </c>
      <c r="B25" s="8" t="n">
        <v>90.59999999999999</v>
      </c>
      <c r="C25" s="8" t="n">
        <v>-6.98</v>
      </c>
    </row>
    <row r="26">
      <c r="A26" s="8" t="inlineStr">
        <is>
          <t>Oct'22</t>
        </is>
      </c>
      <c r="B26" s="8" t="n">
        <v>91.7</v>
      </c>
      <c r="C26" s="8" t="n">
        <v>1.21</v>
      </c>
    </row>
    <row r="27">
      <c r="A27" s="8" t="inlineStr">
        <is>
          <t>Nov'22</t>
        </is>
      </c>
      <c r="B27" s="8" t="n">
        <v>88.7</v>
      </c>
      <c r="C27" s="8" t="n">
        <v>-3.27</v>
      </c>
    </row>
    <row r="28">
      <c r="A28" s="8" t="inlineStr">
        <is>
          <t>Dec'22</t>
        </is>
      </c>
      <c r="B28" s="8" t="n">
        <v>79</v>
      </c>
      <c r="C28" s="8" t="n">
        <v>-10.94</v>
      </c>
    </row>
    <row r="29">
      <c r="A29" s="8" t="inlineStr">
        <is>
          <t>Jan'23</t>
        </is>
      </c>
      <c r="B29" s="8" t="n">
        <v>82</v>
      </c>
      <c r="C29" s="8" t="n">
        <v>3.8</v>
      </c>
    </row>
    <row r="30">
      <c r="A30" s="8" t="inlineStr">
        <is>
          <t>Feb'23</t>
        </is>
      </c>
      <c r="B30" s="8" t="n">
        <v>83.8</v>
      </c>
      <c r="C30" s="8" t="n">
        <v>2.2</v>
      </c>
    </row>
    <row r="31">
      <c r="A31" s="8" t="inlineStr">
        <is>
          <t>Mar'23</t>
        </is>
      </c>
      <c r="B31" s="8" t="n">
        <v>78.5</v>
      </c>
      <c r="C31" s="8" t="n">
        <v>-6.32</v>
      </c>
    </row>
    <row r="32">
      <c r="A32" s="8" t="inlineStr">
        <is>
          <t>Apr'23</t>
        </is>
      </c>
      <c r="B32" s="8" t="n">
        <v>84.40000000000001</v>
      </c>
      <c r="C32" s="8" t="n">
        <v>7.52</v>
      </c>
    </row>
    <row r="33"/>
    <row r="34"/>
    <row r="35">
      <c r="A35" s="12" t="inlineStr">
        <is>
          <t>Part B: Correlation of Oil Price MoM Change with CPI Category MoM Changes</t>
        </is>
      </c>
    </row>
    <row r="36"/>
    <row r="37">
      <c r="A37" s="5" t="inlineStr">
        <is>
          <t>CPI Category</t>
        </is>
      </c>
      <c r="B37" s="5" t="inlineStr">
        <is>
          <t>Correlation with Oil Price</t>
        </is>
      </c>
      <c r="C37" s="5" t="inlineStr">
        <is>
          <t>Strength</t>
        </is>
      </c>
      <c r="D37" s="5" t="inlineStr">
        <is>
          <t>Rank</t>
        </is>
      </c>
    </row>
    <row r="38">
      <c r="A38" s="6" t="inlineStr">
        <is>
          <t>Meat and fish</t>
        </is>
      </c>
      <c r="B38" s="6" t="n">
        <v>0.4666</v>
      </c>
      <c r="C38" s="6" t="inlineStr">
        <is>
          <t>Moderate</t>
        </is>
      </c>
      <c r="D38" s="6" t="n">
        <v>1</v>
      </c>
    </row>
    <row r="39">
      <c r="A39" s="8" t="inlineStr">
        <is>
          <t>Oils and fats</t>
        </is>
      </c>
      <c r="B39" s="8" t="n">
        <v>0.3505</v>
      </c>
      <c r="C39" s="8" t="inlineStr">
        <is>
          <t>Moderate</t>
        </is>
      </c>
      <c r="D39" s="8" t="n">
        <v>2</v>
      </c>
    </row>
    <row r="40">
      <c r="A40" s="8" t="inlineStr">
        <is>
          <t>Cereals and products</t>
        </is>
      </c>
      <c r="B40" s="8" t="n">
        <v>-0.2956</v>
      </c>
      <c r="C40" s="8" t="inlineStr">
        <is>
          <t>Weak</t>
        </is>
      </c>
      <c r="D40" s="8" t="n">
        <v>3</v>
      </c>
    </row>
    <row r="41">
      <c r="A41" s="8" t="inlineStr">
        <is>
          <t>Milk and products</t>
        </is>
      </c>
      <c r="B41" s="8" t="n">
        <v>-0.2296</v>
      </c>
      <c r="C41" s="8" t="inlineStr">
        <is>
          <t>Weak</t>
        </is>
      </c>
      <c r="D41" s="8" t="n">
        <v>4</v>
      </c>
    </row>
    <row r="42">
      <c r="A42" s="8" t="inlineStr">
        <is>
          <t>Egg</t>
        </is>
      </c>
      <c r="B42" s="8" t="n">
        <v>-0.2169</v>
      </c>
      <c r="C42" s="8" t="inlineStr">
        <is>
          <t>Weak</t>
        </is>
      </c>
      <c r="D42" s="8" t="n">
        <v>5</v>
      </c>
    </row>
    <row r="43">
      <c r="A43" s="8" t="inlineStr">
        <is>
          <t>Non-alcoholic beverages</t>
        </is>
      </c>
      <c r="B43" s="8" t="n">
        <v>0.168</v>
      </c>
      <c r="C43" s="8" t="inlineStr">
        <is>
          <t>Weak</t>
        </is>
      </c>
      <c r="D43" s="8" t="n">
        <v>6</v>
      </c>
    </row>
    <row r="44">
      <c r="A44" s="8" t="inlineStr">
        <is>
          <t>Sugar and Confectionery</t>
        </is>
      </c>
      <c r="B44" s="8" t="n">
        <v>-0.1593</v>
      </c>
      <c r="C44" s="8" t="inlineStr">
        <is>
          <t>Weak</t>
        </is>
      </c>
      <c r="D44" s="8" t="n">
        <v>7</v>
      </c>
    </row>
    <row r="45">
      <c r="A45" s="8" t="inlineStr">
        <is>
          <t>Pan, tobacco and intoxicants</t>
        </is>
      </c>
      <c r="B45" s="8" t="n">
        <v>0.1396</v>
      </c>
      <c r="C45" s="8" t="inlineStr">
        <is>
          <t>Weak</t>
        </is>
      </c>
      <c r="D45" s="8" t="n">
        <v>8</v>
      </c>
    </row>
    <row r="46">
      <c r="A46" s="8" t="inlineStr">
        <is>
          <t>Education</t>
        </is>
      </c>
      <c r="B46" s="8" t="n">
        <v>-0.1363</v>
      </c>
      <c r="C46" s="8" t="inlineStr">
        <is>
          <t>Weak</t>
        </is>
      </c>
      <c r="D46" s="8" t="n">
        <v>9</v>
      </c>
    </row>
    <row r="47">
      <c r="A47" s="8" t="inlineStr">
        <is>
          <t>Pulses and products</t>
        </is>
      </c>
      <c r="B47" s="8" t="n">
        <v>-0.1354</v>
      </c>
      <c r="C47" s="8" t="inlineStr">
        <is>
          <t>Weak</t>
        </is>
      </c>
      <c r="D47" s="8" t="n">
        <v>10</v>
      </c>
    </row>
    <row r="48">
      <c r="A48" s="8" t="inlineStr">
        <is>
          <t>Footwear</t>
        </is>
      </c>
      <c r="B48" s="8" t="n">
        <v>0.1265</v>
      </c>
      <c r="C48" s="8" t="inlineStr">
        <is>
          <t>Weak</t>
        </is>
      </c>
      <c r="D48" s="8" t="n">
        <v>11</v>
      </c>
    </row>
    <row r="49">
      <c r="A49" s="8" t="inlineStr">
        <is>
          <t>Transport and communication</t>
        </is>
      </c>
      <c r="B49" s="8" t="n">
        <v>0.1221</v>
      </c>
      <c r="C49" s="8" t="inlineStr">
        <is>
          <t>Weak</t>
        </is>
      </c>
      <c r="D49" s="8" t="n">
        <v>12</v>
      </c>
    </row>
    <row r="50">
      <c r="A50" s="8" t="inlineStr">
        <is>
          <t>Fuel and light</t>
        </is>
      </c>
      <c r="B50" s="8" t="n">
        <v>0.1208</v>
      </c>
      <c r="C50" s="8" t="inlineStr">
        <is>
          <t>Weak</t>
        </is>
      </c>
      <c r="D50" s="8" t="n">
        <v>13</v>
      </c>
    </row>
    <row r="51">
      <c r="A51" s="8" t="inlineStr">
        <is>
          <t>Housing</t>
        </is>
      </c>
      <c r="B51" s="8" t="n">
        <v>0.1121</v>
      </c>
      <c r="C51" s="8" t="inlineStr">
        <is>
          <t>Weak</t>
        </is>
      </c>
      <c r="D51" s="8" t="n">
        <v>14</v>
      </c>
    </row>
    <row r="52">
      <c r="A52" s="8" t="inlineStr">
        <is>
          <t>Recreation and amusement</t>
        </is>
      </c>
      <c r="B52" s="8" t="n">
        <v>0.1102</v>
      </c>
      <c r="C52" s="8" t="inlineStr">
        <is>
          <t>Weak</t>
        </is>
      </c>
      <c r="D52" s="8" t="n">
        <v>15</v>
      </c>
    </row>
    <row r="53">
      <c r="A53" s="8" t="inlineStr">
        <is>
          <t>Prepared meals, snacks, sweets etc.</t>
        </is>
      </c>
      <c r="B53" s="8" t="n">
        <v>0.1056</v>
      </c>
      <c r="C53" s="8" t="inlineStr">
        <is>
          <t>Weak</t>
        </is>
      </c>
      <c r="D53" s="8" t="n">
        <v>16</v>
      </c>
    </row>
    <row r="54">
      <c r="A54" s="8" t="inlineStr">
        <is>
          <t>Spices</t>
        </is>
      </c>
      <c r="B54" s="8" t="n">
        <v>-0.0956</v>
      </c>
      <c r="C54" s="8" t="inlineStr">
        <is>
          <t>Weak</t>
        </is>
      </c>
      <c r="D54" s="8" t="n">
        <v>17</v>
      </c>
    </row>
    <row r="55">
      <c r="A55" s="8" t="inlineStr">
        <is>
          <t>Health</t>
        </is>
      </c>
      <c r="B55" s="8" t="n">
        <v>0.07099999999999999</v>
      </c>
      <c r="C55" s="8" t="inlineStr">
        <is>
          <t>Weak</t>
        </is>
      </c>
      <c r="D55" s="8" t="n">
        <v>18</v>
      </c>
    </row>
    <row r="56">
      <c r="A56" s="8" t="inlineStr">
        <is>
          <t>Clothing</t>
        </is>
      </c>
      <c r="B56" s="8" t="n">
        <v>0.0541</v>
      </c>
      <c r="C56" s="8" t="inlineStr">
        <is>
          <t>Weak</t>
        </is>
      </c>
      <c r="D56" s="8" t="n">
        <v>19</v>
      </c>
    </row>
    <row r="57">
      <c r="A57" s="8" t="inlineStr">
        <is>
          <t>Fruits</t>
        </is>
      </c>
      <c r="B57" s="8" t="n">
        <v>0.0483</v>
      </c>
      <c r="C57" s="8" t="inlineStr">
        <is>
          <t>Weak</t>
        </is>
      </c>
      <c r="D57" s="8" t="n">
        <v>20</v>
      </c>
    </row>
    <row r="58">
      <c r="A58" s="8" t="inlineStr">
        <is>
          <t>Personal care and effects</t>
        </is>
      </c>
      <c r="B58" s="8" t="n">
        <v>0.0378</v>
      </c>
      <c r="C58" s="8" t="inlineStr">
        <is>
          <t>Weak</t>
        </is>
      </c>
      <c r="D58" s="8" t="n">
        <v>21</v>
      </c>
    </row>
    <row r="59">
      <c r="A59" s="8" t="inlineStr">
        <is>
          <t>Vegetables</t>
        </is>
      </c>
      <c r="B59" s="8" t="n">
        <v>0.0338</v>
      </c>
      <c r="C59" s="8" t="inlineStr">
        <is>
          <t>Weak</t>
        </is>
      </c>
      <c r="D59" s="8" t="n">
        <v>22</v>
      </c>
    </row>
    <row r="60">
      <c r="A60" s="8" t="inlineStr">
        <is>
          <t>Household goods and services</t>
        </is>
      </c>
      <c r="B60" s="8" t="n">
        <v>-0.0337</v>
      </c>
      <c r="C60" s="8" t="inlineStr">
        <is>
          <t>Weak</t>
        </is>
      </c>
      <c r="D60" s="8" t="n">
        <v>23</v>
      </c>
    </row>
    <row r="61"/>
    <row r="62">
      <c r="A62" s="11" t="inlineStr">
        <is>
          <t>Category most strongly correlated with oil price: 'Meat and fish' (r = 0.4666)</t>
        </is>
      </c>
    </row>
  </sheetData>
  <mergeCells count="4">
    <mergeCell ref="A62:D62"/>
    <mergeCell ref="A35:D35"/>
    <mergeCell ref="A1:F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2026-04-07T13:40:00Z</dcterms:created>
  <dcterms:modified xsi:type="dcterms:W3CDTF">2026-04-07T13:40:00Z</dcterms:modified>
</cp:coreProperties>
</file>